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d11b6cbcf245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还款明细" sheetId="1" r:id="R52fdd9e1a6dc4f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#,##0"/>
    <x:numFmt numFmtId="202" formatCode="0"/>
    <x:numFmt numFmtId="203" formatCode="yyyymmdd"/>
    <x:numFmt numFmtId="204" formatCode="0.000"/>
  </x:numFmts>
  <x:fonts count="12">
    <x:font>
      <x:sz val="11"/>
      <x:name val="Carlito"/>
    </x:font>
    <x:font>
      <x:b/>
      <x:sz val="15"/>
      <x:color rgb="FF1F2937"/>
      <x:name val="Arial"/>
    </x:font>
    <x:font>
      <x:b/>
      <x:sz val="10"/>
      <x:color rgb="FF334155"/>
      <x:name val="Arial"/>
    </x:font>
    <x:font>
      <x:b/>
      <x:sz val="12"/>
      <x:color rgb="FF17365D"/>
      <x:name val="Arial"/>
    </x:font>
    <x:font>
      <x:b/>
      <x:sz val="11"/>
      <x:color rgb="FF334155"/>
      <x:name val="Arial"/>
    </x:font>
    <x:font>
      <x:b/>
      <x:sz val="10"/>
      <x:color rgb="FF92400E"/>
      <x:name val="Arial"/>
    </x:font>
    <x:font>
      <x:i/>
      <x:sz val="10"/>
      <x:color rgb="FF92400E"/>
      <x:name val="Arial"/>
    </x:font>
    <x:font>
      <x:i/>
      <x:sz val="9"/>
      <x:color rgb="FF64748B"/>
      <x:name val="Arial"/>
    </x:font>
    <x:font>
      <x:b/>
      <x:sz val="10"/>
      <x:color rgb="FF17365D"/>
      <x:name val="Arial"/>
    </x:font>
    <x:font>
      <x:sz val="10"/>
      <x:name val="Arial"/>
    </x:font>
    <x:font>
      <x:b/>
      <x:sz val="10"/>
      <x:color rgb="FFFFFFFF"/>
      <x:name val="Arial"/>
    </x:font>
    <x:font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8F1F8"/>
      </x:patternFill>
    </x:fill>
    <x:fill>
      <x:patternFill patternType="solid">
        <x:fgColor rgb="FFF3F4F6"/>
      </x:patternFill>
    </x:fill>
    <x:fill>
      <x:patternFill patternType="solid">
        <x:fgColor rgb="FFDCE6F1"/>
      </x:patternFill>
    </x:fill>
    <x:fill>
      <x:patternFill patternType="solid">
        <x:fgColor rgb="FFFFF7ED"/>
      </x:patternFill>
    </x:fill>
  </x:fills>
  <x:borders count="6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double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right"/>
    </x:xf>
    <x:xf numFmtId="0" fontId="3" fillId="3" borderId="0" xfId="0" applyNumberFormat="1" applyFont="1" applyFill="1" applyBorder="1" applyAlignment="1">
      <x:alignment horizontal="righ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right"/>
    </x:xf>
    <x:xf numFmtId="0" fontId="4" fillId="4" borderId="0" xfId="0" applyNumberFormat="1" applyFont="1" applyFill="1" applyBorder="1" applyAlignment="1">
      <x:alignment horizontal="right" vertical="center"/>
    </x:xf>
    <x:xf numFmtId="200" fontId="3" fillId="3" borderId="0" xfId="0" applyNumberFormat="1" applyFont="1" applyFill="1" applyBorder="1" applyAlignment="1">
      <x:alignment horizontal="right" vertical="center"/>
    </x:xf>
    <x:xf numFmtId="201" fontId="4" fillId="4" borderId="0" xfId="0" applyNumberFormat="1" applyFont="1" applyFill="1" applyBorder="1" applyAlignment="1">
      <x:alignment horizontal="right" vertical="center"/>
    </x:xf>
    <x:xf numFmtId="202" fontId="3" fillId="3" borderId="0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/>
    <x:xf numFmtId="202" fontId="2" fillId="0" borderId="0" xfId="0" applyNumberFormat="1" applyFont="1" applyFill="1" applyBorder="1"/>
    <x:xf numFmtId="202" fontId="4" fillId="4" borderId="0" xfId="0" applyNumberFormat="1" applyFont="1" applyFill="1" applyBorder="1" applyAlignment="1">
      <x:alignment horizontal="right" vertical="center"/>
    </x:xf>
    <x:xf numFmtId="0" fontId="2" fillId="0" borderId="1" xfId="0" applyNumberFormat="1" applyFont="1" applyFill="1" applyBorder="1"/>
    <x:xf numFmtId="200" fontId="3" fillId="3" borderId="2" xfId="0" applyNumberFormat="1" applyFont="1" applyFill="1" applyBorder="1" applyAlignment="1">
      <x:alignment horizontal="right" vertical="center"/>
    </x:xf>
    <x:xf numFmtId="0" fontId="2" fillId="0" borderId="3" xfId="0" applyNumberFormat="1" applyFont="1" applyFill="1" applyBorder="1"/>
    <x:xf numFmtId="202" fontId="3" fillId="3" borderId="4" xfId="0" applyNumberFormat="1" applyFont="1" applyFill="1" applyBorder="1" applyAlignment="1">
      <x:alignment horizontal="right" vertical="center"/>
    </x:xf>
    <x:xf numFmtId="201" fontId="4" fillId="4" borderId="2" xfId="0" applyNumberFormat="1" applyFont="1" applyFill="1" applyBorder="1" applyAlignment="1">
      <x:alignment horizontal="right" vertical="center"/>
    </x:xf>
    <x:xf numFmtId="202" fontId="2" fillId="0" borderId="3" xfId="0" applyNumberFormat="1" applyFont="1" applyFill="1" applyBorder="1"/>
    <x:xf numFmtId="202" fontId="4" fillId="4" borderId="4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5" xfId="0" applyNumberFormat="1" applyFont="1" applyFill="1" applyBorder="1"/>
    <x:xf numFmtId="0" fontId="8" fillId="5" borderId="5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2" borderId="0" xfId="0" applyNumberFormat="1" applyFont="1" applyFill="1" applyBorder="1"/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horizontal="center" wrapText="1"/>
    </x:xf>
    <x:xf numFmtId="0" fontId="10" fillId="2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left" vertical="center"/>
    </x:xf>
    <x:xf numFmtId="203" fontId="9" fillId="0" borderId="0" xfId="0" applyNumberFormat="1" applyFont="1" applyFill="1" applyBorder="1" applyAlignment="1">
      <x:alignment horizontal="center" vertical="center"/>
    </x:xf>
    <x:xf numFmtId="201" fontId="9" fillId="0" borderId="0" xfId="0" applyNumberFormat="1" applyFont="1" applyFill="1" applyBorder="1" applyAlignment="1">
      <x:alignment vertical="center"/>
    </x:xf>
    <x:xf numFmtId="201" fontId="8" fillId="5" borderId="5" xfId="0" applyNumberFormat="1" applyFont="1" applyFill="1" applyBorder="1" applyAlignment="1">
      <x:alignment vertical="center"/>
    </x:xf>
    <x:xf numFmtId="204" fontId="9" fillId="0" borderId="0" xfId="0" applyNumberFormat="1" applyFont="1" applyFill="1" applyBorder="1" applyAlignment="1">
      <x:alignment horizontal="center" vertical="center"/>
    </x:xf>
    <x:xf numFmtId="200" fontId="9" fillId="0" borderId="0" xfId="0" applyNumberFormat="1" applyFont="1" applyFill="1" applyBorder="1" applyAlignment="1">
      <x:alignment vertical="center"/>
    </x:xf>
    <x:xf numFmtId="200" fontId="8" fillId="5" borderId="5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left" vertical="center" wrapText="1"/>
    </x:xf>
    <x:xf numFmtId="0" fontId="9" fillId="6" borderId="0" xfId="0" applyNumberFormat="1" applyFont="1" applyFill="1" applyBorder="1" applyAlignment="1">
      <x:alignment horizontal="center" vertical="center"/>
    </x:xf>
    <x:xf numFmtId="204" fontId="9" fillId="6" borderId="0" xfId="0" applyNumberFormat="1" applyFont="1" applyFill="1" applyBorder="1" applyAlignment="1">
      <x:alignment horizontal="center" vertical="center"/>
    </x:xf>
    <x:xf numFmtId="200" fontId="9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horizontal="left" vertical="center" wrapText="1"/>
    </x:xf>
    <x:xf numFmtId="0" fontId="11" fillId="0" borderId="0" xfId="0" applyNumberFormat="1" applyFont="1" applyFill="1" applyBorder="1"/>
    <x:xf numFmtId="0" fontId="11" fillId="2" borderId="0" xfId="0" applyNumberFormat="1" applyFont="1" applyFill="1" applyBorder="1"/>
    <x:xf numFmtId="202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202" fontId="11" fillId="0" borderId="0" xfId="0" applyNumberFormat="1" applyFont="1" applyFill="1" applyBorder="1" applyAlignment="1">
      <x:alignment vertical="center"/>
    </x:xf>
    <x:xf numFmtId="202" fontId="2" fillId="0" borderId="3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3" fontId="8" fillId="5" borderId="5" xfId="0" applyNumberFormat="1" applyFont="1" applyFill="1" applyBorder="1" applyAlignment="1">
      <x:alignment vertical="center"/>
    </x:xf>
    <x:xf numFmtId="204" fontId="8" fillId="5" borderId="5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7661f4c2bf4716" /><Relationship Type="http://schemas.openxmlformats.org/officeDocument/2006/relationships/theme" Target="/xl/theme/theme1.xml" Id="Rdcca863a617d4a57" /><Relationship Type="http://schemas.openxmlformats.org/officeDocument/2006/relationships/sharedStrings" Target="/xl/sharedStrings.xml" Id="R7e67a1a6f8ad4ad0" /><Relationship Type="http://schemas.openxmlformats.org/officeDocument/2006/relationships/worksheet" Target="/xl/worksheets/sheet1.xml" Id="R52fdd9e1a6dc4fe4" /></Relationships>
</file>

<file path=xl/tables/table1.xml><?xml version="1.0" encoding="utf-8"?>
<x:table xmlns:x="http://schemas.openxmlformats.org/spreadsheetml/2006/main" id="1" name="RepaymentTable" displayName="RepaymentTable" ref="A8:G36" headerRowCount="1" totalsRowCount="0" totalsRowShown="0">
  <x:autoFilter ref="A8:G36"/>
  <x:tableColumns count="7">
    <x:tableColumn id="1" name="序号"/>
    <x:tableColumn id="2" name="日期"/>
    <x:tableColumn id="3" name="原始金额（元）"/>
    <x:tableColumn id="4" name="付款方式"/>
    <x:tableColumn id="5" name="折算系数"/>
    <x:tableColumn id="6" name="计入还款金额（元）"/>
    <x:tableColumn id="7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d6c3ee1b584472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8" hidden="0" customWidth="1"/>
    <x:col min="2" max="2" width="14" hidden="0" customWidth="1"/>
    <x:col min="3" max="3" width="17" hidden="0" customWidth="1"/>
    <x:col min="4" max="4" width="13" hidden="0" customWidth="1"/>
    <x:col min="5" max="5" width="12" hidden="0" customWidth="1"/>
    <x:col min="6" max="6" width="20" hidden="0" customWidth="1"/>
    <x:col min="7" max="7" width="34" hidden="0" customWidth="1"/>
  </x:cols>
  <x:sheetData>
    <x:row r="1">
      <x:c r="A1" s="57"/>
      <x:c r="B1" s="57"/>
      <x:c r="C1" s="57"/>
      <x:c r="D1" s="57"/>
      <x:c r="E1" s="57"/>
      <x:c r="F1" s="57"/>
      <x:c r="G1" s="57"/>
    </x:row>
    <x:row r="2" ht="26" customHeight="1">
      <x:c r="A2" s="2" t="str">
        <x:v>2026年货款还款明细</x:v>
      </x:c>
      <x:c r="B2" s="2"/>
      <x:c r="C2" s="2"/>
      <x:c r="D2" s="2"/>
      <x:c r="E2" s="2"/>
      <x:c r="F2" s="2"/>
      <x:c r="G2" s="2"/>
    </x:row>
    <x:row r="3" ht="3" customHeight="1">
      <x:c r="A3" s="58"/>
      <x:c r="B3" s="58"/>
      <x:c r="C3" s="58"/>
      <x:c r="D3" s="58"/>
      <x:c r="E3" s="58"/>
      <x:c r="F3" s="58"/>
      <x:c r="G3" s="58"/>
    </x:row>
    <x:row r="4">
      <x:c r="A4" s="59" t="str">
        <x:v>计入还款总额（元）</x:v>
      </x:c>
      <x:c r="B4" s="20" t="n">
        <x:f>F37</x:f>
        <x:v>275382.7</x:v>
      </x:c>
      <x:c r="C4" s="57"/>
      <x:c r="D4" s="59" t="str">
        <x:v>原始金额合计（元）</x:v>
      </x:c>
      <x:c r="E4" s="23" t="n">
        <x:f>C37</x:f>
        <x:v>285360</x:v>
      </x:c>
      <x:c r="F4" s="57"/>
      <x:c r="G4" s="57"/>
    </x:row>
    <x:row r="5">
      <x:c r="A5" s="60" t="str">
        <x:v>还款笔数</x:v>
      </x:c>
      <x:c r="B5" s="22" t="n">
        <x:f>COUNTA(A9:A36)</x:f>
        <x:v>28</x:v>
      </x:c>
      <x:c r="C5" s="61"/>
      <x:c r="D5" s="62" t="str">
        <x:v>统计年度</x:v>
      </x:c>
      <x:c r="E5" s="25" t="n">
        <x:v>2026</x:v>
      </x:c>
      <x:c r="F5" s="57"/>
      <x:c r="G5" s="57"/>
    </x:row>
    <x:row r="6" ht="24" customHeight="1">
      <x:c r="A6" s="63" t="str">
        <x:v>折算说明</x:v>
      </x:c>
      <x:c r="B6" s="28" t="str">
        <x:v>折算系数为0.915的公账款按0.915计入，其余记录按原金额计入。</x:v>
      </x:c>
      <x:c r="C6" s="28"/>
      <x:c r="D6" s="28"/>
      <x:c r="E6" s="28"/>
      <x:c r="F6" s="28"/>
      <x:c r="G6" s="28"/>
    </x:row>
    <x:row r="7" ht="18" customHeight="1">
      <x:c r="A7" s="64" t="str">
        <x:v>数据来源：用户提供的手写记录图片及后续新增记录</x:v>
      </x:c>
      <x:c r="B7" s="64"/>
      <x:c r="C7" s="64"/>
      <x:c r="D7" s="64"/>
      <x:c r="E7" s="64"/>
      <x:c r="F7" s="64"/>
      <x:c r="G7" s="64"/>
    </x:row>
    <x:row r="8" ht="30" customHeight="1">
      <x:c r="A8" s="39" t="str">
        <x:v>序号</x:v>
      </x:c>
      <x:c r="B8" s="39" t="str">
        <x:v>日期</x:v>
      </x:c>
      <x:c r="C8" s="39" t="str">
        <x:v>原始金额（元）</x:v>
      </x:c>
      <x:c r="D8" s="39" t="str">
        <x:v>付款方式</x:v>
      </x:c>
      <x:c r="E8" s="39" t="str">
        <x:v>折算系数</x:v>
      </x:c>
      <x:c r="F8" s="39" t="str">
        <x:v>计入还款金额（元）</x:v>
      </x:c>
      <x:c r="G8" s="39" t="str">
        <x:v>备注</x:v>
      </x:c>
    </x:row>
    <x:row r="9" ht="22" customHeight="1">
      <x:c r="A9" s="41" t="n">
        <x:v>1</x:v>
      </x:c>
      <x:c r="B9" s="43" t="n">
        <x:v>46025</x:v>
      </x:c>
      <x:c r="C9" s="44" t="n">
        <x:v>2000</x:v>
      </x:c>
      <x:c r="D9" s="41" t="str">
        <x:v>微信</x:v>
      </x:c>
      <x:c r="E9" s="46" t="n">
        <x:v>1</x:v>
      </x:c>
      <x:c r="F9" s="47" t="n">
        <x:f>ROUND(C9*E9,2)</x:f>
        <x:v>2000</x:v>
      </x:c>
      <x:c r="G9" s="49" t="str"/>
    </x:row>
    <x:row r="10" ht="22" customHeight="1">
      <x:c r="A10" s="41" t="n">
        <x:v>2</x:v>
      </x:c>
      <x:c r="B10" s="43" t="n">
        <x:v>46043</x:v>
      </x:c>
      <x:c r="C10" s="44" t="n">
        <x:v>3000</x:v>
      </x:c>
      <x:c r="D10" s="41" t="str">
        <x:v>微信</x:v>
      </x:c>
      <x:c r="E10" s="46" t="n">
        <x:v>1</x:v>
      </x:c>
      <x:c r="F10" s="47" t="n">
        <x:f>ROUND(C10*E10,2)</x:f>
        <x:v>3000</x:v>
      </x:c>
      <x:c r="G10" s="49" t="str"/>
    </x:row>
    <x:row r="11" ht="22" customHeight="1">
      <x:c r="A11" s="41" t="n">
        <x:v>3</x:v>
      </x:c>
      <x:c r="B11" s="43" t="n">
        <x:v>46045</x:v>
      </x:c>
      <x:c r="C11" s="44" t="n">
        <x:v>2000</x:v>
      </x:c>
      <x:c r="D11" s="41" t="str">
        <x:v>微信</x:v>
      </x:c>
      <x:c r="E11" s="46" t="n">
        <x:v>1</x:v>
      </x:c>
      <x:c r="F11" s="47" t="n">
        <x:f>ROUND(C11*E11,2)</x:f>
        <x:v>2000</x:v>
      </x:c>
      <x:c r="G11" s="49" t="str"/>
    </x:row>
    <x:row r="12" ht="22" customHeight="1">
      <x:c r="A12" s="41" t="n">
        <x:v>4</x:v>
      </x:c>
      <x:c r="B12" s="43" t="n">
        <x:v>46069</x:v>
      </x:c>
      <x:c r="C12" s="44" t="n">
        <x:v>5000</x:v>
      </x:c>
      <x:c r="D12" s="41" t="str">
        <x:v>微信</x:v>
      </x:c>
      <x:c r="E12" s="46" t="n">
        <x:v>1</x:v>
      </x:c>
      <x:c r="F12" s="47" t="n">
        <x:f>ROUND(C12*E12,2)</x:f>
        <x:v>5000</x:v>
      </x:c>
      <x:c r="G12" s="49" t="str"/>
    </x:row>
    <x:row r="13" ht="22" customHeight="1">
      <x:c r="A13" s="41" t="n">
        <x:v>5</x:v>
      </x:c>
      <x:c r="B13" s="43" t="n">
        <x:v>46097</x:v>
      </x:c>
      <x:c r="C13" s="44" t="n">
        <x:v>8000</x:v>
      </x:c>
      <x:c r="D13" s="41" t="str">
        <x:v>微信</x:v>
      </x:c>
      <x:c r="E13" s="46" t="n">
        <x:v>1</x:v>
      </x:c>
      <x:c r="F13" s="47" t="n">
        <x:f>ROUND(C13*E13,2)</x:f>
        <x:v>8000</x:v>
      </x:c>
      <x:c r="G13" s="49" t="str"/>
    </x:row>
    <x:row r="14" ht="22" customHeight="1">
      <x:c r="A14" s="41" t="n">
        <x:v>6</x:v>
      </x:c>
      <x:c r="B14" s="43" t="n">
        <x:v>46112</x:v>
      </x:c>
      <x:c r="C14" s="44" t="n">
        <x:v>6000</x:v>
      </x:c>
      <x:c r="D14" s="41" t="str">
        <x:v>微信</x:v>
      </x:c>
      <x:c r="E14" s="46" t="n">
        <x:v>1</x:v>
      </x:c>
      <x:c r="F14" s="47" t="n">
        <x:f>ROUND(C14*E14,2)</x:f>
        <x:v>6000</x:v>
      </x:c>
      <x:c r="G14" s="49" t="str"/>
    </x:row>
    <x:row r="15" ht="22" customHeight="1">
      <x:c r="A15" s="41" t="n">
        <x:v>7</x:v>
      </x:c>
      <x:c r="B15" s="43" t="n">
        <x:v>46125</x:v>
      </x:c>
      <x:c r="C15" s="44" t="n">
        <x:v>3900</x:v>
      </x:c>
      <x:c r="D15" s="41" t="str">
        <x:v>微信</x:v>
      </x:c>
      <x:c r="E15" s="46" t="n">
        <x:v>1</x:v>
      </x:c>
      <x:c r="F15" s="47" t="n">
        <x:f>ROUND(C15*E15,2)</x:f>
        <x:v>3900</x:v>
      </x:c>
      <x:c r="G15" s="49" t="str"/>
    </x:row>
    <x:row r="16" ht="22" customHeight="1">
      <x:c r="A16" s="41" t="n">
        <x:v>8</x:v>
      </x:c>
      <x:c r="B16" s="43" t="n">
        <x:v>46129</x:v>
      </x:c>
      <x:c r="C16" s="44" t="n">
        <x:v>5000</x:v>
      </x:c>
      <x:c r="D16" s="41" t="str">
        <x:v>微信</x:v>
      </x:c>
      <x:c r="E16" s="46" t="n">
        <x:v>1</x:v>
      </x:c>
      <x:c r="F16" s="47" t="n">
        <x:f>ROUND(C16*E16,2)</x:f>
        <x:v>5000</x:v>
      </x:c>
      <x:c r="G16" s="49" t="str"/>
    </x:row>
    <x:row r="17" ht="22" customHeight="1">
      <x:c r="A17" s="41" t="n">
        <x:v>9</x:v>
      </x:c>
      <x:c r="B17" s="43" t="n">
        <x:v>46135</x:v>
      </x:c>
      <x:c r="C17" s="44" t="n">
        <x:v>9500</x:v>
      </x:c>
      <x:c r="D17" s="41" t="str">
        <x:v>微信</x:v>
      </x:c>
      <x:c r="E17" s="46" t="n">
        <x:v>1</x:v>
      </x:c>
      <x:c r="F17" s="47" t="n">
        <x:f>ROUND(C17*E17,2)</x:f>
        <x:v>9500</x:v>
      </x:c>
      <x:c r="G17" s="49" t="str"/>
    </x:row>
    <x:row r="18" ht="22" customHeight="1">
      <x:c r="A18" s="41" t="n">
        <x:v>10</x:v>
      </x:c>
      <x:c r="B18" s="43" t="n">
        <x:v>46141</x:v>
      </x:c>
      <x:c r="C18" s="44" t="n">
        <x:v>8000</x:v>
      </x:c>
      <x:c r="D18" s="41" t="str">
        <x:v>微信</x:v>
      </x:c>
      <x:c r="E18" s="46" t="n">
        <x:v>1</x:v>
      </x:c>
      <x:c r="F18" s="47" t="n">
        <x:f>ROUND(C18*E18,2)</x:f>
        <x:v>8000</x:v>
      </x:c>
      <x:c r="G18" s="49" t="str"/>
    </x:row>
    <x:row r="19" ht="22" customHeight="1">
      <x:c r="A19" s="41" t="n">
        <x:v>11</x:v>
      </x:c>
      <x:c r="B19" s="43" t="n">
        <x:v>46149</x:v>
      </x:c>
      <x:c r="C19" s="44" t="n">
        <x:v>9000</x:v>
      </x:c>
      <x:c r="D19" s="41" t="str">
        <x:v>微信</x:v>
      </x:c>
      <x:c r="E19" s="46" t="n">
        <x:v>1</x:v>
      </x:c>
      <x:c r="F19" s="47" t="n">
        <x:f>ROUND(C19*E19,2)</x:f>
        <x:v>9000</x:v>
      </x:c>
      <x:c r="G19" s="49" t="str"/>
    </x:row>
    <x:row r="20" ht="34" customHeight="1">
      <x:c r="A20" s="41" t="n">
        <x:v>12</x:v>
      </x:c>
      <x:c r="B20" s="43" t="n">
        <x:v>46156</x:v>
      </x:c>
      <x:c r="C20" s="44" t="n">
        <x:v>19200</x:v>
      </x:c>
      <x:c r="D20" s="50" t="str">
        <x:v>未注明</x:v>
      </x:c>
      <x:c r="E20" s="51" t="n">
        <x:v>1</x:v>
      </x:c>
      <x:c r="F20" s="52" t="n">
        <x:f>ROUND(C20*E20,2)</x:f>
        <x:v>19200</x:v>
      </x:c>
      <x:c r="G20" s="53" t="str">
        <x:v>手写备注疑似“货—黄土光”，请核对</x:v>
      </x:c>
    </x:row>
    <x:row r="21" ht="22" customHeight="1">
      <x:c r="A21" s="41" t="n">
        <x:v>13</x:v>
      </x:c>
      <x:c r="B21" s="43" t="n">
        <x:v>46163</x:v>
      </x:c>
      <x:c r="C21" s="44" t="n">
        <x:v>1840</x:v>
      </x:c>
      <x:c r="D21" s="41" t="str">
        <x:v>微信</x:v>
      </x:c>
      <x:c r="E21" s="46" t="n">
        <x:v>1</x:v>
      </x:c>
      <x:c r="F21" s="47" t="n">
        <x:f>ROUND(C21*E21,2)</x:f>
        <x:v>1840</x:v>
      </x:c>
      <x:c r="G21" s="49" t="str"/>
    </x:row>
    <x:row r="22" ht="22" customHeight="1">
      <x:c r="A22" s="41" t="n">
        <x:v>14</x:v>
      </x:c>
      <x:c r="B22" s="43" t="n">
        <x:v>46164</x:v>
      </x:c>
      <x:c r="C22" s="44" t="n">
        <x:v>2500</x:v>
      </x:c>
      <x:c r="D22" s="41" t="str">
        <x:v>微信</x:v>
      </x:c>
      <x:c r="E22" s="46" t="n">
        <x:v>1</x:v>
      </x:c>
      <x:c r="F22" s="47" t="n">
        <x:f>ROUND(C22*E22,2)</x:f>
        <x:v>2500</x:v>
      </x:c>
      <x:c r="G22" s="49" t="str"/>
    </x:row>
    <x:row r="23" ht="22" customHeight="1">
      <x:c r="A23" s="41" t="n">
        <x:v>15</x:v>
      </x:c>
      <x:c r="B23" s="43" t="n">
        <x:v>46175</x:v>
      </x:c>
      <x:c r="C23" s="44" t="n">
        <x:v>16000</x:v>
      </x:c>
      <x:c r="D23" s="41" t="str">
        <x:v>微信</x:v>
      </x:c>
      <x:c r="E23" s="46" t="n">
        <x:v>1</x:v>
      </x:c>
      <x:c r="F23" s="47" t="n">
        <x:f>ROUND(C23*E23,2)</x:f>
        <x:v>16000</x:v>
      </x:c>
      <x:c r="G23" s="49" t="str"/>
    </x:row>
    <x:row r="24" ht="22" customHeight="1">
      <x:c r="A24" s="41" t="n">
        <x:v>16</x:v>
      </x:c>
      <x:c r="B24" s="43" t="n">
        <x:v>46176</x:v>
      </x:c>
      <x:c r="C24" s="44" t="n">
        <x:v>840</x:v>
      </x:c>
      <x:c r="D24" s="41" t="str">
        <x:v>微信</x:v>
      </x:c>
      <x:c r="E24" s="46" t="n">
        <x:v>1</x:v>
      </x:c>
      <x:c r="F24" s="47" t="n">
        <x:f>ROUND(C24*E24,2)</x:f>
        <x:v>840</x:v>
      </x:c>
      <x:c r="G24" s="49" t="str"/>
    </x:row>
    <x:row r="25" ht="22" customHeight="1">
      <x:c r="A25" s="41" t="n">
        <x:v>17</x:v>
      </x:c>
      <x:c r="B25" s="43" t="n">
        <x:v>46178</x:v>
      </x:c>
      <x:c r="C25" s="44" t="n">
        <x:v>25000</x:v>
      </x:c>
      <x:c r="D25" s="41" t="str">
        <x:v>微信</x:v>
      </x:c>
      <x:c r="E25" s="46" t="n">
        <x:v>1</x:v>
      </x:c>
      <x:c r="F25" s="47" t="n">
        <x:f>ROUND(C25*E25,2)</x:f>
        <x:v>25000</x:v>
      </x:c>
      <x:c r="G25" s="49" t="str"/>
    </x:row>
    <x:row r="26" ht="22" customHeight="1">
      <x:c r="A26" s="41" t="n">
        <x:v>18</x:v>
      </x:c>
      <x:c r="B26" s="43" t="n">
        <x:v>46191</x:v>
      </x:c>
      <x:c r="C26" s="44" t="n">
        <x:v>7000</x:v>
      </x:c>
      <x:c r="D26" s="41" t="str">
        <x:v>公账</x:v>
      </x:c>
      <x:c r="E26" s="46" t="n">
        <x:v>1</x:v>
      </x:c>
      <x:c r="F26" s="47" t="n">
        <x:f>ROUND(C26*E26,2)</x:f>
        <x:v>7000</x:v>
      </x:c>
      <x:c r="G26" s="49" t="str">
        <x:v>图片未标注折算系数</x:v>
      </x:c>
    </x:row>
    <x:row r="27" ht="22" customHeight="1">
      <x:c r="A27" s="41" t="n">
        <x:v>19</x:v>
      </x:c>
      <x:c r="B27" s="43" t="n">
        <x:v>46204</x:v>
      </x:c>
      <x:c r="C27" s="44" t="n">
        <x:v>20000</x:v>
      </x:c>
      <x:c r="D27" s="41" t="str">
        <x:v>微信</x:v>
      </x:c>
      <x:c r="E27" s="46" t="n">
        <x:v>1</x:v>
      </x:c>
      <x:c r="F27" s="47" t="n">
        <x:f>ROUND(C27*E27,2)</x:f>
        <x:v>20000</x:v>
      </x:c>
      <x:c r="G27" s="49" t="str"/>
    </x:row>
    <x:row r="28" ht="22" customHeight="1">
      <x:c r="A28" s="41" t="n">
        <x:v>20</x:v>
      </x:c>
      <x:c r="B28" s="43" t="n">
        <x:v>46206</x:v>
      </x:c>
      <x:c r="C28" s="44" t="n">
        <x:v>3600</x:v>
      </x:c>
      <x:c r="D28" s="41" t="str">
        <x:v>微信</x:v>
      </x:c>
      <x:c r="E28" s="46" t="n">
        <x:v>1</x:v>
      </x:c>
      <x:c r="F28" s="47" t="n">
        <x:f>ROUND(C28*E28,2)</x:f>
        <x:v>3600</x:v>
      </x:c>
      <x:c r="G28" s="49" t="str"/>
    </x:row>
    <x:row r="29" ht="22" customHeight="1">
      <x:c r="A29" s="41" t="n">
        <x:v>21</x:v>
      </x:c>
      <x:c r="B29" s="43" t="n">
        <x:v>46225</x:v>
      </x:c>
      <x:c r="C29" s="44" t="n">
        <x:v>2000</x:v>
      </x:c>
      <x:c r="D29" s="41" t="str">
        <x:v>微信</x:v>
      </x:c>
      <x:c r="E29" s="46" t="n">
        <x:v>1</x:v>
      </x:c>
      <x:c r="F29" s="47" t="n">
        <x:f>ROUND(C29*E29,2)</x:f>
        <x:v>2000</x:v>
      </x:c>
      <x:c r="G29" s="49" t="str"/>
    </x:row>
    <x:row r="30" ht="22" customHeight="1">
      <x:c r="A30" s="41" t="n">
        <x:v>22</x:v>
      </x:c>
      <x:c r="B30" s="43" t="n">
        <x:v>46232</x:v>
      </x:c>
      <x:c r="C30" s="44" t="n">
        <x:v>47500</x:v>
      </x:c>
      <x:c r="D30" s="41" t="str">
        <x:v>公账</x:v>
      </x:c>
      <x:c r="E30" s="46" t="n">
        <x:v>0.915</x:v>
      </x:c>
      <x:c r="F30" s="47" t="n">
        <x:f>ROUND(C30*E30,2)</x:f>
        <x:v>43462.5</x:v>
      </x:c>
      <x:c r="G30" s="49" t="str">
        <x:v>按图片标注 ×0.915 折算</x:v>
      </x:c>
    </x:row>
    <x:row r="31" ht="22" customHeight="1">
      <x:c r="A31" s="41" t="n">
        <x:v>23</x:v>
      </x:c>
      <x:c r="B31" s="43" t="n">
        <x:v>46253</x:v>
      </x:c>
      <x:c r="C31" s="44" t="n">
        <x:v>7000</x:v>
      </x:c>
      <x:c r="D31" s="41" t="str">
        <x:v>微信</x:v>
      </x:c>
      <x:c r="E31" s="46" t="n">
        <x:v>1</x:v>
      </x:c>
      <x:c r="F31" s="47" t="n">
        <x:f>ROUND(C31*E31,2)</x:f>
        <x:v>7000</x:v>
      </x:c>
      <x:c r="G31" s="49" t="str"/>
    </x:row>
    <x:row r="32" ht="22" customHeight="1">
      <x:c r="A32" s="41" t="n">
        <x:v>24</x:v>
      </x:c>
      <x:c r="B32" s="43" t="n">
        <x:v>46256</x:v>
      </x:c>
      <x:c r="C32" s="44" t="n">
        <x:v>300</x:v>
      </x:c>
      <x:c r="D32" s="41" t="str">
        <x:v>微信</x:v>
      </x:c>
      <x:c r="E32" s="46" t="n">
        <x:v>1</x:v>
      </x:c>
      <x:c r="F32" s="47" t="n">
        <x:f>ROUND(C32*E32,2)</x:f>
        <x:v>300</x:v>
      </x:c>
      <x:c r="G32" s="49" t="str"/>
    </x:row>
    <x:row r="33" ht="22" customHeight="1">
      <x:c r="A33" s="41" t="n">
        <x:v>25</x:v>
      </x:c>
      <x:c r="B33" s="43" t="n">
        <x:v>46260</x:v>
      </x:c>
      <x:c r="C33" s="44" t="n">
        <x:v>14950</x:v>
      </x:c>
      <x:c r="D33" s="41" t="str">
        <x:v>公账</x:v>
      </x:c>
      <x:c r="E33" s="46" t="n">
        <x:v>0.915</x:v>
      </x:c>
      <x:c r="F33" s="47" t="n">
        <x:f>ROUND(C33*E33,2)</x:f>
        <x:v>13679.25</x:v>
      </x:c>
      <x:c r="G33" s="49" t="str">
        <x:v>按图片标注 ×0.915 折算</x:v>
      </x:c>
    </x:row>
    <x:row r="34" ht="22" customHeight="1">
      <x:c r="A34" s="41" t="n">
        <x:v>26</x:v>
      </x:c>
      <x:c r="B34" s="43" t="n">
        <x:v>46264</x:v>
      </x:c>
      <x:c r="C34" s="44" t="n">
        <x:v>17950</x:v>
      </x:c>
      <x:c r="D34" s="41" t="str">
        <x:v>公账</x:v>
      </x:c>
      <x:c r="E34" s="46" t="n">
        <x:v>0.915</x:v>
      </x:c>
      <x:c r="F34" s="47" t="n">
        <x:f>ROUND(C34*E34,2)</x:f>
        <x:v>16424.25</x:v>
      </x:c>
      <x:c r="G34" s="49" t="str">
        <x:v>按图片标注 ×0.915 折算</x:v>
      </x:c>
    </x:row>
    <x:row r="35" ht="22" customHeight="1">
      <x:c r="A35" s="41" t="n">
        <x:v>27</x:v>
      </x:c>
      <x:c r="B35" s="43" t="n">
        <x:v>46268</x:v>
      </x:c>
      <x:c r="C35" s="44" t="n">
        <x:v>1300</x:v>
      </x:c>
      <x:c r="D35" s="50" t="str">
        <x:v>未注明</x:v>
      </x:c>
      <x:c r="E35" s="51" t="n">
        <x:v>1</x:v>
      </x:c>
      <x:c r="F35" s="52" t="n">
        <x:f>ROUND(C35*E35,2)</x:f>
        <x:v>1300</x:v>
      </x:c>
      <x:c r="G35" s="53" t="str">
        <x:v>图片未注明付款方式</x:v>
      </x:c>
    </x:row>
    <x:row r="36" ht="22" customHeight="1">
      <x:c r="A36" s="33" t="n">
        <x:v>28</x:v>
      </x:c>
      <x:c r="B36" s="65" t="n">
        <x:v>46289</x:v>
      </x:c>
      <x:c r="C36" s="45" t="n">
        <x:v>36980</x:v>
      </x:c>
      <x:c r="D36" s="33" t="str">
        <x:v>公账</x:v>
      </x:c>
      <x:c r="E36" s="66" t="n">
        <x:v>0.915</x:v>
      </x:c>
      <x:c r="F36" s="48" t="n">
        <x:f>ROUND(C36*E36,2)</x:f>
        <x:v>33836.7</x:v>
      </x:c>
      <x:c r="G36" s="33" t="str">
        <x:v>按用户提供 ×0.915 折算</x:v>
      </x:c>
    </x:row>
    <x:row r="37">
      <x:c r="A37" t="str">
        <x:v>合计</x:v>
      </x:c>
      <x:c r="B37"/>
      <x:c r="C37" t="n">
        <x:f>SUM(C9:C36)</x:f>
        <x:v>285360</x:v>
      </x:c>
      <x:c r="D37"/>
      <x:c r="E37"/>
      <x:c r="F37" t="n">
        <x:f>SUM(F9:F36)</x:f>
        <x:v>275382.7</x:v>
      </x:c>
      <x:c r="G37" t="str">
        <x:v>28笔</x:v>
      </x:c>
    </x:row>
  </x:sheetData>
  <x:conditionalFormatting sqref="E9:E35">
    <x:cfRule type="cellIs" dxfId="0" priority="1" operator="lessThan">
      <x:formula>1</x:formula>
    </x:cfRule>
  </x:conditionalFormatting>
  <x:conditionalFormatting sqref="E36:E36">
    <x:cfRule type="cellIs" dxfId="1" priority="2" operator="lessThan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2d6c3ee1b584472"/>
  </x:tableParts>
</x:worksheet>
</file>